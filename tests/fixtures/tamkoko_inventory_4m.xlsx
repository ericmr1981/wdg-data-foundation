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<sst xmlns="http://schemas.openxmlformats.org/spreadsheetml/2006/main" count="331" uniqueCount="238">
  <si>
    <t xml:space="preserve">tamkoko月盘表 </t>
  </si>
  <si>
    <t>分类</t>
  </si>
  <si>
    <t>物料名称</t>
  </si>
  <si>
    <t>SKU</t>
  </si>
  <si>
    <t>规格</t>
  </si>
  <si>
    <t>单价/元</t>
  </si>
  <si>
    <t>现有库存</t>
  </si>
  <si>
    <t>单位</t>
  </si>
  <si>
    <t>库存金额</t>
  </si>
  <si>
    <t>常温物料</t>
  </si>
  <si>
    <t>鲜牛乳奶基底</t>
  </si>
  <si>
    <t>001365</t>
  </si>
  <si>
    <t>规格：1kg*12盒/箱</t>
  </si>
  <si>
    <t>箱</t>
  </si>
  <si>
    <t>专供定制豆花粉</t>
  </si>
  <si>
    <t>002454</t>
  </si>
  <si>
    <t>规格：800g*12 包</t>
  </si>
  <si>
    <t>包</t>
  </si>
  <si>
    <t>【迷你款】冰淇淋脆筒</t>
  </si>
  <si>
    <t>002453</t>
  </si>
  <si>
    <t>规格：450个/箱</t>
  </si>
  <si>
    <t>个</t>
  </si>
  <si>
    <t>白砂糖（小包装）</t>
  </si>
  <si>
    <t>001094</t>
  </si>
  <si>
    <t>规格：1kg*10 包</t>
  </si>
  <si>
    <t>天然可可粉</t>
  </si>
  <si>
    <t>002485</t>
  </si>
  <si>
    <t>规格：1kg*2 包/箱</t>
  </si>
  <si>
    <t>甜菜根粉</t>
  </si>
  <si>
    <t>002004</t>
  </si>
  <si>
    <t>规格：100g/包</t>
  </si>
  <si>
    <t>特调牛乳</t>
  </si>
  <si>
    <t>002507</t>
  </si>
  <si>
    <t>规格：1L*12盒</t>
  </si>
  <si>
    <t>冰糖糖水（68°瓶装)</t>
  </si>
  <si>
    <t>00890</t>
  </si>
  <si>
    <t>规格：2.5kg*6瓶</t>
  </si>
  <si>
    <t>瓶</t>
  </si>
  <si>
    <t>雀巢鹰唛炼奶</t>
  </si>
  <si>
    <t>002508</t>
  </si>
  <si>
    <t>规格：350克*48罐</t>
  </si>
  <si>
    <t>恒天然脱脂乳粉</t>
  </si>
  <si>
    <t>002509</t>
  </si>
  <si>
    <t>规格：25kg/袋</t>
  </si>
  <si>
    <t>袋</t>
  </si>
  <si>
    <t>脆皮冰淇淋筒</t>
  </si>
  <si>
    <t>002512</t>
  </si>
  <si>
    <t>规格：200个/箱</t>
  </si>
  <si>
    <t>克丽安大麦粒爆米花</t>
  </si>
  <si>
    <t>002513</t>
  </si>
  <si>
    <t>规格：74g*16 包</t>
  </si>
  <si>
    <t>中糖黑糖粉</t>
  </si>
  <si>
    <t>002511</t>
  </si>
  <si>
    <t>规格：30kg/袋</t>
  </si>
  <si>
    <t>泰式混合茶（含茶伴侣粉）</t>
  </si>
  <si>
    <t>002504</t>
  </si>
  <si>
    <t>规格：500克*20包</t>
  </si>
  <si>
    <t>吉利丁片</t>
  </si>
  <si>
    <t>002574</t>
  </si>
  <si>
    <t>规格：5g*200 片</t>
  </si>
  <si>
    <t>芝士酪乳</t>
  </si>
  <si>
    <t>002712</t>
  </si>
  <si>
    <t>规格：1L*12 盒</t>
  </si>
  <si>
    <t>泰式伴侣粉（小包）</t>
  </si>
  <si>
    <t>002722</t>
  </si>
  <si>
    <t>规格：25克*20包</t>
  </si>
  <si>
    <t>云间茉莉</t>
  </si>
  <si>
    <t>001571</t>
  </si>
  <si>
    <t>规格：50g*10 小袋/包</t>
  </si>
  <si>
    <t>泰柯纯牛奶</t>
  </si>
  <si>
    <t>002713</t>
  </si>
  <si>
    <t>芝士冰淇淋奶浆</t>
  </si>
  <si>
    <t>002488</t>
  </si>
  <si>
    <t>盒</t>
  </si>
  <si>
    <t>水果</t>
  </si>
  <si>
    <t>莳萝草（净重500g）</t>
  </si>
  <si>
    <t>002899</t>
  </si>
  <si>
    <t>规格：净重500g</t>
  </si>
  <si>
    <t>g</t>
  </si>
  <si>
    <t>迷迭香（净重500g）</t>
  </si>
  <si>
    <t>002861</t>
  </si>
  <si>
    <t>包装材料</t>
  </si>
  <si>
    <t>定制收银纸（60*80）</t>
  </si>
  <si>
    <t>002489</t>
  </si>
  <si>
    <t>规格：50卷/箱</t>
  </si>
  <si>
    <t>杯贴打印纸（40*60mm）</t>
  </si>
  <si>
    <t>002490</t>
  </si>
  <si>
    <t>规格：600张*50卷/箱</t>
  </si>
  <si>
    <t>卷</t>
  </si>
  <si>
    <t>冰淇淋脆筒纸套（迷你款）</t>
  </si>
  <si>
    <t>002471</t>
  </si>
  <si>
    <t>规格：500个*8包/箱</t>
  </si>
  <si>
    <t>Tamkoko定制杯套（0,1）</t>
  </si>
  <si>
    <t>002462</t>
  </si>
  <si>
    <t>规格：100个/包</t>
  </si>
  <si>
    <t>可拆四杯托（4拆2）</t>
  </si>
  <si>
    <t>002037</t>
  </si>
  <si>
    <t>规格：400个/箱</t>
  </si>
  <si>
    <t>Tamkoko-热饮双层16oz纸杯</t>
  </si>
  <si>
    <t>002499</t>
  </si>
  <si>
    <t>规格：25个*20条</t>
  </si>
  <si>
    <t>条</t>
  </si>
  <si>
    <t>tamkoko-两杯保温袋（0.1）</t>
  </si>
  <si>
    <t>002481</t>
  </si>
  <si>
    <t>规格：300个/箱</t>
  </si>
  <si>
    <t>tamkoko-单杯保温袋（0.1）</t>
  </si>
  <si>
    <t>002482</t>
  </si>
  <si>
    <t>tamkoko-四杯保温袋（0.1）</t>
  </si>
  <si>
    <t>002480</t>
  </si>
  <si>
    <t>保温桶标签贴</t>
  </si>
  <si>
    <t>002498</t>
  </si>
  <si>
    <t>规格：6张/包</t>
  </si>
  <si>
    <t>tamkoko-小泰瓶手工布标签</t>
  </si>
  <si>
    <t>002530</t>
  </si>
  <si>
    <t>规格：500张/包</t>
  </si>
  <si>
    <t>冰淇淋脆筒纸套（标准）</t>
  </si>
  <si>
    <t>002529</t>
  </si>
  <si>
    <t>规格：2000个/箱</t>
  </si>
  <si>
    <t>tamkoko-餐巾纸</t>
  </si>
  <si>
    <t>002525</t>
  </si>
  <si>
    <t>规格：100张*36包</t>
  </si>
  <si>
    <t>tamkoko-可降解纸浆勺</t>
  </si>
  <si>
    <t>002524</t>
  </si>
  <si>
    <t>规格：100支/包</t>
  </si>
  <si>
    <t>tamkoko-外卖封口贴（1.0版）</t>
  </si>
  <si>
    <t>002532</t>
  </si>
  <si>
    <t>规格：1000张/卷</t>
  </si>
  <si>
    <t>单杯纸袋（300个/箱）</t>
  </si>
  <si>
    <t>002533</t>
  </si>
  <si>
    <t>泰奶-小泰瓶（螺纹款）</t>
  </si>
  <si>
    <t>002493</t>
  </si>
  <si>
    <t>规格：100个/箱</t>
  </si>
  <si>
    <t>小泰瓶-银色铝制瓶盖（螺纹款）</t>
  </si>
  <si>
    <t>002494</t>
  </si>
  <si>
    <t>泰柯茶园98-16oz冷饮塑杯</t>
  </si>
  <si>
    <t>002517</t>
  </si>
  <si>
    <t>规格：50个*20条</t>
  </si>
  <si>
    <t>泰柯茶园98-14oz冷饮塑杯</t>
  </si>
  <si>
    <t>002518</t>
  </si>
  <si>
    <t>泰柯茶园95-7.5分装小料塑杯</t>
  </si>
  <si>
    <t>002519</t>
  </si>
  <si>
    <t>98加高PET杯盖</t>
  </si>
  <si>
    <t>002520</t>
  </si>
  <si>
    <t>98大孔PET杯盖</t>
  </si>
  <si>
    <t>002521</t>
  </si>
  <si>
    <t>98PET分体杯盖</t>
  </si>
  <si>
    <t>002522</t>
  </si>
  <si>
    <t>95PET分装小料杯盖</t>
  </si>
  <si>
    <t>002523</t>
  </si>
  <si>
    <t>泰柯-pla可降解黑色粗吸管（粗）</t>
  </si>
  <si>
    <t>002515</t>
  </si>
  <si>
    <t>规格：100支*20包</t>
  </si>
  <si>
    <t>泰柯-pla可降解黑色粗吸管（细）</t>
  </si>
  <si>
    <t>002516</t>
  </si>
  <si>
    <t>规格：200支*20包</t>
  </si>
  <si>
    <t>两杯纸袋（300个/箱）</t>
  </si>
  <si>
    <t>002591</t>
  </si>
  <si>
    <t>热饮纸杯杯盖（黑色-深卡槽）</t>
  </si>
  <si>
    <t>002708</t>
  </si>
  <si>
    <t>一次性手套（餐食-独立小包）</t>
  </si>
  <si>
    <t>002737</t>
  </si>
  <si>
    <t>规格：2只装*200双</t>
  </si>
  <si>
    <t>泰柯-定制餐食纸盒（卷饼）</t>
  </si>
  <si>
    <t>002725</t>
  </si>
  <si>
    <t>规格：600个/箱</t>
  </si>
  <si>
    <t>18*18c餐食垫纸</t>
  </si>
  <si>
    <t>002726</t>
  </si>
  <si>
    <t>前吧台装饰-圆形纸罐</t>
  </si>
  <si>
    <t>002799</t>
  </si>
  <si>
    <t>规格：个</t>
  </si>
  <si>
    <t>布标签-超浓(可可瓶)</t>
  </si>
  <si>
    <t>002714</t>
  </si>
  <si>
    <t>布标签-超浓(小奶瓶)</t>
  </si>
  <si>
    <t>002715</t>
  </si>
  <si>
    <t>布标签-超浓(小泰瓶)</t>
  </si>
  <si>
    <t>002716</t>
  </si>
  <si>
    <t>茶特调风味卡片(青芒山竹)</t>
  </si>
  <si>
    <t>002867</t>
  </si>
  <si>
    <t>规格：200张/包</t>
  </si>
  <si>
    <t>冷冻&amp;冷藏食品</t>
  </si>
  <si>
    <t>(冷冻)快煮黑糖珍珠</t>
  </si>
  <si>
    <t>002440</t>
  </si>
  <si>
    <t>规 格 ：1kg*12 包</t>
  </si>
  <si>
    <t>(冷冻)椰子水(袋装)</t>
  </si>
  <si>
    <t>002514</t>
  </si>
  <si>
    <t>规 格 ： 1kg*12 包</t>
  </si>
  <si>
    <t>(冷冻)米麻芒</t>
  </si>
  <si>
    <t>001794</t>
  </si>
  <si>
    <t>规格：500g*20 包/箱</t>
  </si>
  <si>
    <t>(冷藏)闪蝶喷射奶油</t>
  </si>
  <si>
    <t>002582</t>
  </si>
  <si>
    <t>规格：470克*12罐</t>
  </si>
  <si>
    <t>罐</t>
  </si>
  <si>
    <t>(冷冻)蜜桔汁</t>
  </si>
  <si>
    <t>001369</t>
  </si>
  <si>
    <t>规格：1L*12罐/箱</t>
  </si>
  <si>
    <t>(冷冻)秦国嫩椰肉条</t>
  </si>
  <si>
    <t>002721</t>
  </si>
  <si>
    <t>规 格 ： 1kg*16 包</t>
  </si>
  <si>
    <t>（速冻)山竹汁</t>
  </si>
  <si>
    <t>002088</t>
  </si>
  <si>
    <t>规格：960ml*12瓶/箱</t>
  </si>
  <si>
    <t>(冷冻)榴莲味冰淇淋</t>
  </si>
  <si>
    <t>002762</t>
  </si>
  <si>
    <t>规格：3kg*2盒</t>
  </si>
  <si>
    <t>(速冻)榴莲果泥</t>
  </si>
  <si>
    <t>002790</t>
  </si>
  <si>
    <t>规格：1kg*10 包/箱</t>
  </si>
  <si>
    <t>(冷冻)生椰乳(新)</t>
  </si>
  <si>
    <t>000352</t>
  </si>
  <si>
    <t>规格：1kg*20 包</t>
  </si>
  <si>
    <t>(速冻)释迦果浆</t>
  </si>
  <si>
    <t>002785</t>
  </si>
  <si>
    <t>规格：500g*12 包/箱</t>
  </si>
  <si>
    <t>(冷冻)青芒汁</t>
  </si>
  <si>
    <t>002789</t>
  </si>
  <si>
    <t>规格：1kg*12 瓶/箱</t>
  </si>
  <si>
    <t>(速冻)芭乐浆</t>
  </si>
  <si>
    <t>002738</t>
  </si>
  <si>
    <t>规格：980g*12 瓶/箱</t>
  </si>
  <si>
    <t>(冷冻)青柠浆</t>
  </si>
  <si>
    <t>002825</t>
  </si>
  <si>
    <t>规格：500g*24 瓶/箱</t>
  </si>
  <si>
    <t>(冷藏)多效搅打稀奶油</t>
  </si>
  <si>
    <t>002044</t>
  </si>
  <si>
    <t>规格：1L*12 盒/箱</t>
  </si>
  <si>
    <t>定制周边</t>
  </si>
  <si>
    <t>Tamkoko 帆布袋(手提加宽版)</t>
  </si>
  <si>
    <t>002590</t>
  </si>
  <si>
    <t>亚克力冰箱贴(咸法酪泰奶款)</t>
  </si>
  <si>
    <t>002583</t>
  </si>
  <si>
    <t>亚克力冰箱贴(甄选泰奶款)</t>
  </si>
  <si>
    <t>002584</t>
  </si>
  <si>
    <t>亚克力冰箱贴(超浓小泰瓶款)</t>
  </si>
  <si>
    <t>002586</t>
  </si>
  <si>
    <t>亚克力冰箱贴(猫猫头款)</t>
  </si>
  <si>
    <t>002587</t>
  </si>
  <si>
    <t>总额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</si>
</sst>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Sim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tabSelected="1" zoomScale="145" zoomScaleNormal="145" workbookViewId="0">
      <selection activeCell="K74" sqref="K74"/>
    </sheetView>
  </sheetViews>
  <sheetFormatPr defaultColWidth="8.89166666666667" defaultRowHeight="13.5"/>
  <cols>
    <col min="1" max="1" width="11.8916666666667" style="1" customWidth="1"/>
    <col min="2" max="2" width="33.225" style="1" customWidth="1"/>
    <col min="3" max="3" width="8.89166666666667" style="1"/>
    <col min="4" max="4" width="28.8833333333333" style="1" customWidth="1"/>
    <col min="5" max="5" width="7.49166666666667" style="2" customWidth="1"/>
    <col min="6" max="6" width="7.66666666666667" style="2" customWidth="1"/>
    <col min="7" max="7" width="5.76666666666667" style="3" customWidth="1"/>
    <col min="8" max="8" width="8.35833333333333" style="3" customWidth="1"/>
  </cols>
  <sheetData>
    <row r="1" ht="20.25" spans="1:11">
      <c r="A1" s="4" t="s">
        <v>0</v>
      </c>
      <c r="B1" s="5"/>
      <c r="C1" s="5"/>
      <c r="D1" s="5"/>
      <c r="E1" s="5"/>
      <c r="F1" s="5"/>
      <c r="G1" s="6"/>
      <c r="H1" s="6"/>
    </row>
    <row r="2" ht="14.25" spans="1:11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9" t="s">
        <v>6</v>
      </c>
      <c r="G2" s="10" t="s">
        <v>7</v>
      </c>
      <c r="H2" s="10" t="s">
        <v>8</v>
      </c>
    </row>
    <row r="3" spans="1:11">
      <c r="A3" s="8" t="s">
        <v>9</v>
      </c>
      <c r="B3" s="11" t="s">
        <v>10</v>
      </c>
      <c r="C3" s="17" t="s">
        <v>11</v>
      </c>
      <c r="D3" s="11" t="s">
        <v>12</v>
      </c>
      <c r="E3" s="12">
        <v>264</v>
      </c>
      <c r="F3" s="13">
        <v>8.3</v>
      </c>
      <c r="G3" s="10" t="s">
        <v>13</v>
      </c>
      <c r="H3" s="10">
        <f>E3*F3</f>
        <v>2191.2</v>
      </c>
    </row>
    <row r="4" spans="1:11">
      <c r="A4" s="8"/>
      <c r="B4" s="11" t="s">
        <v>14</v>
      </c>
      <c r="C4" s="17" t="s">
        <v>15</v>
      </c>
      <c r="D4" s="11" t="s">
        <v>16</v>
      </c>
      <c r="E4" s="12">
        <v>450</v>
      </c>
      <c r="F4" s="13">
        <v>0.33</v>
      </c>
      <c r="G4" s="10" t="s">
        <v>17</v>
      </c>
      <c r="H4" s="10">
        <f t="shared" ref="H4:H35" si="0">E4*F4</f>
        <v>148.5</v>
      </c>
    </row>
    <row r="5" spans="1:11">
      <c r="A5" s="8"/>
      <c r="B5" s="11" t="s">
        <v>18</v>
      </c>
      <c r="C5" s="17" t="s">
        <v>19</v>
      </c>
      <c r="D5" s="11" t="s">
        <v>20</v>
      </c>
      <c r="E5" s="12">
        <v>109</v>
      </c>
      <c r="F5" s="13">
        <v>0</v>
      </c>
      <c r="G5" s="10" t="s">
        <v>21</v>
      </c>
      <c r="H5" s="10">
        <f t="shared" si="0"/>
        <v>0</v>
      </c>
    </row>
    <row r="6" spans="1:11">
      <c r="A6" s="8"/>
      <c r="B6" s="11" t="s">
        <v>22</v>
      </c>
      <c r="C6" s="17" t="s">
        <v>23</v>
      </c>
      <c r="D6" s="11" t="s">
        <v>24</v>
      </c>
      <c r="E6" s="12">
        <v>120</v>
      </c>
      <c r="F6" s="13">
        <v>0</v>
      </c>
      <c r="G6" s="10" t="s">
        <v>17</v>
      </c>
      <c r="H6" s="10">
        <f t="shared" si="0"/>
        <v>0</v>
      </c>
    </row>
    <row r="7" spans="1:11">
      <c r="A7" s="8"/>
      <c r="B7" s="11" t="s">
        <v>25</v>
      </c>
      <c r="C7" s="17" t="s">
        <v>26</v>
      </c>
      <c r="D7" s="11" t="s">
        <v>27</v>
      </c>
      <c r="E7" s="12">
        <v>240</v>
      </c>
      <c r="F7" s="13">
        <v>4</v>
      </c>
      <c r="G7" s="10" t="s">
        <v>13</v>
      </c>
      <c r="H7" s="10">
        <f t="shared" si="0"/>
        <v>960</v>
      </c>
    </row>
    <row r="8" spans="1:11">
      <c r="A8" s="8"/>
      <c r="B8" s="11" t="s">
        <v>28</v>
      </c>
      <c r="C8" s="17" t="s">
        <v>29</v>
      </c>
      <c r="D8" s="11" t="s">
        <v>30</v>
      </c>
      <c r="E8" s="12">
        <v>15</v>
      </c>
      <c r="F8" s="13">
        <v>3</v>
      </c>
      <c r="G8" s="10" t="s">
        <v>17</v>
      </c>
      <c r="H8" s="10">
        <f t="shared" si="0"/>
        <v>45</v>
      </c>
    </row>
    <row r="9" spans="1:11">
      <c r="A9" s="8"/>
      <c r="B9" s="11" t="s">
        <v>31</v>
      </c>
      <c r="C9" s="17" t="s">
        <v>32</v>
      </c>
      <c r="D9" s="11" t="s">
        <v>33</v>
      </c>
      <c r="E9" s="12">
        <v>354</v>
      </c>
      <c r="F9" s="13">
        <v>7</v>
      </c>
      <c r="G9" s="10" t="s">
        <v>13</v>
      </c>
      <c r="H9" s="10">
        <f t="shared" si="0"/>
        <v>2478</v>
      </c>
    </row>
    <row r="10" ht="14.25" spans="1:11">
      <c r="A10" s="8"/>
      <c r="B10" s="11" t="s">
        <v>34</v>
      </c>
      <c r="C10" s="17" t="s">
        <v>35</v>
      </c>
      <c r="D10" s="11" t="s">
        <v>36</v>
      </c>
      <c r="E10" s="12">
        <v>148.5</v>
      </c>
      <c r="F10" s="13">
        <v>2.5</v>
      </c>
      <c r="G10" s="10" t="s">
        <v>37</v>
      </c>
      <c r="H10" s="10">
        <f t="shared" si="0"/>
        <v>371.25</v>
      </c>
      <c r="K10" s="14"/>
    </row>
    <row r="11" spans="1:11">
      <c r="A11" s="8"/>
      <c r="B11" s="11" t="s">
        <v>38</v>
      </c>
      <c r="C11" s="17" t="s">
        <v>39</v>
      </c>
      <c r="D11" s="11" t="s">
        <v>40</v>
      </c>
      <c r="E11" s="12">
        <v>546</v>
      </c>
      <c r="F11" s="13">
        <v>0.646</v>
      </c>
      <c r="G11" s="10" t="s">
        <v>13</v>
      </c>
      <c r="H11" s="10">
        <f t="shared" si="0"/>
        <v>352.716</v>
      </c>
    </row>
    <row r="12" ht="14.25" spans="1:11">
      <c r="A12" s="8"/>
      <c r="B12" s="11" t="s">
        <v>41</v>
      </c>
      <c r="C12" s="17" t="s">
        <v>42</v>
      </c>
      <c r="D12" s="11" t="s">
        <v>43</v>
      </c>
      <c r="E12" s="12">
        <v>700</v>
      </c>
      <c r="F12" s="15">
        <v>0</v>
      </c>
      <c r="G12" s="10" t="s">
        <v>44</v>
      </c>
      <c r="H12" s="10">
        <f t="shared" si="0"/>
        <v>0</v>
      </c>
    </row>
    <row r="13" ht="14.25" spans="1:11">
      <c r="A13" s="8"/>
      <c r="B13" s="11" t="s">
        <v>45</v>
      </c>
      <c r="C13" s="17" t="s">
        <v>46</v>
      </c>
      <c r="D13" s="11" t="s">
        <v>47</v>
      </c>
      <c r="E13" s="12">
        <v>135</v>
      </c>
      <c r="F13" s="15">
        <v>0</v>
      </c>
      <c r="G13" s="10" t="s">
        <v>13</v>
      </c>
      <c r="H13" s="10">
        <f t="shared" si="0"/>
        <v>0</v>
      </c>
    </row>
    <row r="14" spans="1:11">
      <c r="A14" s="8"/>
      <c r="B14" s="11" t="s">
        <v>48</v>
      </c>
      <c r="C14" s="17" t="s">
        <v>49</v>
      </c>
      <c r="D14" s="11" t="s">
        <v>50</v>
      </c>
      <c r="E14" s="12">
        <v>112</v>
      </c>
      <c r="F14" s="13">
        <v>1</v>
      </c>
      <c r="G14" s="10" t="s">
        <v>13</v>
      </c>
      <c r="H14" s="10">
        <f t="shared" si="0"/>
        <v>112</v>
      </c>
    </row>
    <row r="15" spans="1:11">
      <c r="A15" s="8"/>
      <c r="B15" s="11" t="s">
        <v>51</v>
      </c>
      <c r="C15" s="17" t="s">
        <v>52</v>
      </c>
      <c r="D15" s="11" t="s">
        <v>53</v>
      </c>
      <c r="E15" s="12">
        <v>268</v>
      </c>
      <c r="F15" s="13">
        <v>0.2</v>
      </c>
      <c r="G15" s="10" t="s">
        <v>44</v>
      </c>
      <c r="H15" s="10">
        <f t="shared" si="0"/>
        <v>53.6</v>
      </c>
    </row>
    <row r="16" spans="1:11">
      <c r="A16" s="8"/>
      <c r="B16" s="11" t="s">
        <v>54</v>
      </c>
      <c r="C16" s="17" t="s">
        <v>55</v>
      </c>
      <c r="D16" s="11" t="s">
        <v>56</v>
      </c>
      <c r="E16" s="12">
        <v>810</v>
      </c>
      <c r="F16" s="13">
        <v>1.9</v>
      </c>
      <c r="G16" s="10" t="s">
        <v>13</v>
      </c>
      <c r="H16" s="10">
        <f t="shared" si="0"/>
        <v>1539</v>
      </c>
    </row>
    <row r="17" spans="1:8">
      <c r="A17" s="8"/>
      <c r="B17" s="11" t="s">
        <v>57</v>
      </c>
      <c r="C17" s="17" t="s">
        <v>58</v>
      </c>
      <c r="D17" s="11" t="s">
        <v>59</v>
      </c>
      <c r="E17" s="12">
        <v>112</v>
      </c>
      <c r="F17" s="13">
        <v>0.4</v>
      </c>
      <c r="G17" s="10" t="s">
        <v>13</v>
      </c>
      <c r="H17" s="10">
        <f t="shared" si="0"/>
        <v>44.8</v>
      </c>
    </row>
    <row r="18" spans="1:8">
      <c r="A18" s="8"/>
      <c r="B18" s="11" t="s">
        <v>60</v>
      </c>
      <c r="C18" s="17" t="s">
        <v>61</v>
      </c>
      <c r="D18" s="11" t="s">
        <v>62</v>
      </c>
      <c r="E18" s="12">
        <v>460</v>
      </c>
      <c r="F18" s="13">
        <v>2</v>
      </c>
      <c r="G18" s="10" t="s">
        <v>13</v>
      </c>
      <c r="H18" s="10">
        <f t="shared" si="0"/>
        <v>920</v>
      </c>
    </row>
    <row r="19" spans="1:8">
      <c r="A19" s="8"/>
      <c r="B19" s="11" t="s">
        <v>63</v>
      </c>
      <c r="C19" s="17" t="s">
        <v>64</v>
      </c>
      <c r="D19" s="11" t="s">
        <v>65</v>
      </c>
      <c r="E19" s="12">
        <v>66</v>
      </c>
      <c r="F19" s="13">
        <v>0</v>
      </c>
      <c r="G19" s="10" t="s">
        <v>17</v>
      </c>
      <c r="H19" s="10">
        <f t="shared" si="0"/>
        <v>0</v>
      </c>
    </row>
    <row r="20" spans="1:8">
      <c r="A20" s="8"/>
      <c r="B20" s="11" t="s">
        <v>66</v>
      </c>
      <c r="C20" s="17" t="s">
        <v>67</v>
      </c>
      <c r="D20" s="11" t="s">
        <v>68</v>
      </c>
      <c r="E20" s="12">
        <v>88</v>
      </c>
      <c r="F20" s="13">
        <v>3</v>
      </c>
      <c r="G20" s="10" t="s">
        <v>17</v>
      </c>
      <c r="H20" s="10">
        <f t="shared" si="0"/>
        <v>264</v>
      </c>
    </row>
    <row r="21" spans="1:8">
      <c r="A21" s="8"/>
      <c r="B21" s="11" t="s">
        <v>69</v>
      </c>
      <c r="C21" s="17" t="s">
        <v>70</v>
      </c>
      <c r="D21" s="11" t="s">
        <v>62</v>
      </c>
      <c r="E21" s="12">
        <v>89</v>
      </c>
      <c r="F21" s="13">
        <v>10</v>
      </c>
      <c r="G21" s="10" t="s">
        <v>13</v>
      </c>
      <c r="H21" s="10">
        <f t="shared" si="0"/>
        <v>890</v>
      </c>
    </row>
    <row r="22" spans="1:8">
      <c r="A22" s="8"/>
      <c r="B22" s="11" t="s">
        <v>71</v>
      </c>
      <c r="C22" s="17" t="s">
        <v>72</v>
      </c>
      <c r="D22" s="11" t="s">
        <v>62</v>
      </c>
      <c r="E22" s="12">
        <v>388</v>
      </c>
      <c r="F22" s="13">
        <v>0</v>
      </c>
      <c r="G22" s="10" t="s">
        <v>73</v>
      </c>
      <c r="H22" s="10">
        <f t="shared" si="0"/>
        <v>0</v>
      </c>
    </row>
    <row r="23" spans="1:8">
      <c r="A23" s="8" t="s">
        <v>74</v>
      </c>
      <c r="B23" s="11" t="s">
        <v>75</v>
      </c>
      <c r="C23" s="17" t="s">
        <v>76</v>
      </c>
      <c r="D23" s="11" t="s">
        <v>77</v>
      </c>
      <c r="E23" s="12">
        <v>23</v>
      </c>
      <c r="F23" s="13">
        <v>0.5</v>
      </c>
      <c r="G23" s="10" t="s">
        <v>78</v>
      </c>
      <c r="H23" s="10">
        <f t="shared" si="0"/>
        <v>11.5</v>
      </c>
    </row>
    <row r="24" spans="1:8">
      <c r="A24" s="8"/>
      <c r="B24" s="11" t="s">
        <v>79</v>
      </c>
      <c r="C24" s="17" t="s">
        <v>80</v>
      </c>
      <c r="D24" s="11" t="s">
        <v>77</v>
      </c>
      <c r="E24" s="12">
        <v>20</v>
      </c>
      <c r="F24" s="13">
        <v>1.5</v>
      </c>
      <c r="G24" s="10" t="s">
        <v>78</v>
      </c>
      <c r="H24" s="10">
        <f t="shared" si="0"/>
        <v>30</v>
      </c>
    </row>
    <row r="25" spans="1:8">
      <c r="A25" s="8" t="s">
        <v>81</v>
      </c>
      <c r="B25" s="11" t="s">
        <v>82</v>
      </c>
      <c r="C25" s="17" t="s">
        <v>83</v>
      </c>
      <c r="D25" s="11" t="s">
        <v>84</v>
      </c>
      <c r="E25" s="12">
        <v>204</v>
      </c>
      <c r="F25" s="13">
        <v>0.88</v>
      </c>
      <c r="G25" s="10" t="s">
        <v>13</v>
      </c>
      <c r="H25" s="10">
        <f t="shared" si="0"/>
        <v>179.52</v>
      </c>
    </row>
    <row r="26" spans="1:8">
      <c r="A26" s="8"/>
      <c r="B26" s="11" t="s">
        <v>85</v>
      </c>
      <c r="C26" s="17" t="s">
        <v>86</v>
      </c>
      <c r="D26" s="11" t="s">
        <v>87</v>
      </c>
      <c r="E26" s="12">
        <v>365</v>
      </c>
      <c r="F26" s="13">
        <v>0.5</v>
      </c>
      <c r="G26" s="10" t="s">
        <v>88</v>
      </c>
      <c r="H26" s="10">
        <f t="shared" si="0"/>
        <v>182.5</v>
      </c>
    </row>
    <row r="27" spans="1:8">
      <c r="A27" s="8"/>
      <c r="B27" s="11" t="s">
        <v>89</v>
      </c>
      <c r="C27" s="17" t="s">
        <v>90</v>
      </c>
      <c r="D27" s="11" t="s">
        <v>91</v>
      </c>
      <c r="E27" s="12">
        <v>590</v>
      </c>
      <c r="F27" s="13">
        <v>0</v>
      </c>
      <c r="G27" s="10" t="s">
        <v>17</v>
      </c>
      <c r="H27" s="10">
        <f t="shared" si="0"/>
        <v>0</v>
      </c>
    </row>
    <row r="28" spans="1:8">
      <c r="A28" s="8"/>
      <c r="B28" s="11" t="s">
        <v>92</v>
      </c>
      <c r="C28" s="17" t="s">
        <v>93</v>
      </c>
      <c r="D28" s="11" t="s">
        <v>94</v>
      </c>
      <c r="E28" s="12">
        <v>19.5</v>
      </c>
      <c r="F28" s="13">
        <v>3</v>
      </c>
      <c r="G28" s="10" t="s">
        <v>17</v>
      </c>
      <c r="H28" s="10">
        <f t="shared" si="0"/>
        <v>58.5</v>
      </c>
    </row>
    <row r="29" spans="1:8">
      <c r="A29" s="8"/>
      <c r="B29" s="11" t="s">
        <v>95</v>
      </c>
      <c r="C29" s="17" t="s">
        <v>96</v>
      </c>
      <c r="D29" s="11" t="s">
        <v>97</v>
      </c>
      <c r="E29" s="12">
        <v>155</v>
      </c>
      <c r="F29" s="13">
        <v>0.25</v>
      </c>
      <c r="G29" s="10" t="s">
        <v>13</v>
      </c>
      <c r="H29" s="10">
        <f t="shared" si="0"/>
        <v>38.75</v>
      </c>
    </row>
    <row r="30" spans="1:8">
      <c r="A30" s="8"/>
      <c r="B30" s="11" t="s">
        <v>98</v>
      </c>
      <c r="C30" s="17" t="s">
        <v>99</v>
      </c>
      <c r="D30" s="11" t="s">
        <v>100</v>
      </c>
      <c r="E30" s="12">
        <v>245</v>
      </c>
      <c r="F30" s="13">
        <v>2.5</v>
      </c>
      <c r="G30" s="10" t="s">
        <v>101</v>
      </c>
      <c r="H30" s="10">
        <f t="shared" si="0"/>
        <v>612.5</v>
      </c>
    </row>
    <row r="31" spans="1:8">
      <c r="A31" s="8"/>
      <c r="B31" s="11" t="s">
        <v>102</v>
      </c>
      <c r="C31" s="17" t="s">
        <v>103</v>
      </c>
      <c r="D31" s="11" t="s">
        <v>104</v>
      </c>
      <c r="E31" s="12">
        <v>237</v>
      </c>
      <c r="F31" s="13">
        <v>1.5</v>
      </c>
      <c r="G31" s="10" t="s">
        <v>13</v>
      </c>
      <c r="H31" s="10">
        <f t="shared" si="0"/>
        <v>355.5</v>
      </c>
    </row>
    <row r="32" spans="1:8">
      <c r="A32" s="8"/>
      <c r="B32" s="11" t="s">
        <v>105</v>
      </c>
      <c r="C32" s="17" t="s">
        <v>106</v>
      </c>
      <c r="D32" s="11" t="s">
        <v>104</v>
      </c>
      <c r="E32" s="12">
        <v>177</v>
      </c>
      <c r="F32" s="13">
        <v>0.17</v>
      </c>
      <c r="G32" s="10" t="s">
        <v>13</v>
      </c>
      <c r="H32" s="10">
        <f t="shared" si="0"/>
        <v>30.09</v>
      </c>
    </row>
    <row r="33" spans="1:8">
      <c r="A33" s="8"/>
      <c r="B33" s="11" t="s">
        <v>107</v>
      </c>
      <c r="C33" s="17" t="s">
        <v>108</v>
      </c>
      <c r="D33" s="11" t="s">
        <v>104</v>
      </c>
      <c r="E33" s="12">
        <v>267</v>
      </c>
      <c r="F33" s="13">
        <v>0.67</v>
      </c>
      <c r="G33" s="10" t="s">
        <v>13</v>
      </c>
      <c r="H33" s="10">
        <f t="shared" si="0"/>
        <v>178.89</v>
      </c>
    </row>
    <row r="34" spans="1:8">
      <c r="A34" s="8"/>
      <c r="B34" s="11" t="s">
        <v>109</v>
      </c>
      <c r="C34" s="17" t="s">
        <v>110</v>
      </c>
      <c r="D34" s="11" t="s">
        <v>111</v>
      </c>
      <c r="E34" s="12">
        <v>9</v>
      </c>
      <c r="F34" s="13">
        <v>1</v>
      </c>
      <c r="G34" s="10" t="s">
        <v>17</v>
      </c>
      <c r="H34" s="10">
        <f t="shared" ref="H34:H65" si="1">E34*F34</f>
        <v>9</v>
      </c>
    </row>
    <row r="35" spans="1:8">
      <c r="A35" s="8"/>
      <c r="B35" s="11" t="s">
        <v>112</v>
      </c>
      <c r="C35" s="17" t="s">
        <v>113</v>
      </c>
      <c r="D35" s="11" t="s">
        <v>114</v>
      </c>
      <c r="E35" s="12">
        <v>89.5</v>
      </c>
      <c r="F35" s="13">
        <v>1</v>
      </c>
      <c r="G35" s="10" t="s">
        <v>17</v>
      </c>
      <c r="H35" s="10">
        <f t="shared" si="1"/>
        <v>89.5</v>
      </c>
    </row>
    <row r="36" spans="1:8">
      <c r="A36" s="8"/>
      <c r="B36" s="11" t="s">
        <v>115</v>
      </c>
      <c r="C36" s="17" t="s">
        <v>116</v>
      </c>
      <c r="D36" s="11" t="s">
        <v>117</v>
      </c>
      <c r="E36" s="12">
        <v>236</v>
      </c>
      <c r="F36" s="13">
        <v>0</v>
      </c>
      <c r="G36" s="10" t="s">
        <v>13</v>
      </c>
      <c r="H36" s="10">
        <f t="shared" si="1"/>
        <v>0</v>
      </c>
    </row>
    <row r="37" spans="1:8">
      <c r="A37" s="8"/>
      <c r="B37" s="11" t="s">
        <v>118</v>
      </c>
      <c r="C37" s="17" t="s">
        <v>119</v>
      </c>
      <c r="D37" s="11" t="s">
        <v>120</v>
      </c>
      <c r="E37" s="12">
        <v>113</v>
      </c>
      <c r="F37" s="13">
        <v>0.3</v>
      </c>
      <c r="G37" s="10" t="s">
        <v>17</v>
      </c>
      <c r="H37" s="10">
        <f t="shared" si="1"/>
        <v>33.9</v>
      </c>
    </row>
    <row r="38" spans="1:8">
      <c r="A38" s="8"/>
      <c r="B38" s="11" t="s">
        <v>121</v>
      </c>
      <c r="C38" s="17" t="s">
        <v>122</v>
      </c>
      <c r="D38" s="11" t="s">
        <v>123</v>
      </c>
      <c r="E38" s="12">
        <v>28</v>
      </c>
      <c r="F38" s="13">
        <v>4.5</v>
      </c>
      <c r="G38" s="10" t="s">
        <v>17</v>
      </c>
      <c r="H38" s="10">
        <f t="shared" si="1"/>
        <v>126</v>
      </c>
    </row>
    <row r="39" spans="1:8">
      <c r="A39" s="8"/>
      <c r="B39" s="11" t="s">
        <v>124</v>
      </c>
      <c r="C39" s="17" t="s">
        <v>125</v>
      </c>
      <c r="D39" s="11" t="s">
        <v>126</v>
      </c>
      <c r="E39" s="12">
        <v>39</v>
      </c>
      <c r="F39" s="13">
        <v>6</v>
      </c>
      <c r="G39" s="10" t="s">
        <v>88</v>
      </c>
      <c r="H39" s="10">
        <f t="shared" si="1"/>
        <v>234</v>
      </c>
    </row>
    <row r="40" spans="1:8">
      <c r="A40" s="8"/>
      <c r="B40" s="11" t="s">
        <v>127</v>
      </c>
      <c r="C40" s="17" t="s">
        <v>128</v>
      </c>
      <c r="D40" s="11" t="s">
        <v>104</v>
      </c>
      <c r="E40" s="12">
        <v>148</v>
      </c>
      <c r="F40" s="13">
        <v>0.17</v>
      </c>
      <c r="G40" s="10" t="s">
        <v>13</v>
      </c>
      <c r="H40" s="10">
        <f t="shared" si="1"/>
        <v>25.16</v>
      </c>
    </row>
    <row r="41" spans="1:8">
      <c r="A41" s="8"/>
      <c r="B41" s="11" t="s">
        <v>129</v>
      </c>
      <c r="C41" s="17" t="s">
        <v>130</v>
      </c>
      <c r="D41" s="11" t="s">
        <v>131</v>
      </c>
      <c r="E41" s="12">
        <v>96</v>
      </c>
      <c r="F41" s="13">
        <v>1</v>
      </c>
      <c r="G41" s="10" t="s">
        <v>13</v>
      </c>
      <c r="H41" s="10">
        <f t="shared" si="1"/>
        <v>96</v>
      </c>
    </row>
    <row r="42" spans="1:8">
      <c r="A42" s="8"/>
      <c r="B42" s="11" t="s">
        <v>132</v>
      </c>
      <c r="C42" s="17" t="s">
        <v>133</v>
      </c>
      <c r="D42" s="11" t="s">
        <v>94</v>
      </c>
      <c r="E42" s="12">
        <v>42</v>
      </c>
      <c r="F42" s="13">
        <v>0</v>
      </c>
      <c r="G42" s="10" t="s">
        <v>17</v>
      </c>
      <c r="H42" s="10">
        <f t="shared" si="1"/>
        <v>0</v>
      </c>
    </row>
    <row r="43" spans="1:8">
      <c r="A43" s="8"/>
      <c r="B43" s="11" t="s">
        <v>134</v>
      </c>
      <c r="C43" s="17" t="s">
        <v>135</v>
      </c>
      <c r="D43" s="11" t="s">
        <v>136</v>
      </c>
      <c r="E43" s="12">
        <v>370</v>
      </c>
      <c r="F43" s="13">
        <v>3</v>
      </c>
      <c r="G43" s="10" t="s">
        <v>13</v>
      </c>
      <c r="H43" s="10">
        <f t="shared" si="1"/>
        <v>1110</v>
      </c>
    </row>
    <row r="44" spans="1:8">
      <c r="A44" s="8"/>
      <c r="B44" s="11" t="s">
        <v>137</v>
      </c>
      <c r="C44" s="17" t="s">
        <v>138</v>
      </c>
      <c r="D44" s="11" t="s">
        <v>136</v>
      </c>
      <c r="E44" s="12">
        <v>320</v>
      </c>
      <c r="F44" s="13">
        <v>2.9</v>
      </c>
      <c r="G44" s="10" t="s">
        <v>13</v>
      </c>
      <c r="H44" s="10">
        <f t="shared" si="1"/>
        <v>928</v>
      </c>
    </row>
    <row r="45" spans="1:8">
      <c r="A45" s="8"/>
      <c r="B45" s="11" t="s">
        <v>139</v>
      </c>
      <c r="C45" s="17" t="s">
        <v>140</v>
      </c>
      <c r="D45" s="11" t="s">
        <v>136</v>
      </c>
      <c r="E45" s="12">
        <v>228</v>
      </c>
      <c r="F45" s="13">
        <v>1</v>
      </c>
      <c r="G45" s="10" t="s">
        <v>13</v>
      </c>
      <c r="H45" s="10">
        <f t="shared" si="1"/>
        <v>228</v>
      </c>
    </row>
    <row r="46" spans="1:8">
      <c r="A46" s="8"/>
      <c r="B46" s="11" t="s">
        <v>141</v>
      </c>
      <c r="C46" s="17" t="s">
        <v>142</v>
      </c>
      <c r="D46" s="11" t="s">
        <v>136</v>
      </c>
      <c r="E46" s="12">
        <v>80</v>
      </c>
      <c r="F46" s="13">
        <v>1.7</v>
      </c>
      <c r="G46" s="10" t="s">
        <v>13</v>
      </c>
      <c r="H46" s="10">
        <f t="shared" si="1"/>
        <v>136</v>
      </c>
    </row>
    <row r="47" spans="1:8">
      <c r="A47" s="8"/>
      <c r="B47" s="11" t="s">
        <v>143</v>
      </c>
      <c r="C47" s="17" t="s">
        <v>144</v>
      </c>
      <c r="D47" s="11" t="s">
        <v>136</v>
      </c>
      <c r="E47" s="12">
        <v>125</v>
      </c>
      <c r="F47" s="13">
        <v>1.3</v>
      </c>
      <c r="G47" s="10" t="s">
        <v>13</v>
      </c>
      <c r="H47" s="10">
        <f t="shared" si="1"/>
        <v>162.5</v>
      </c>
    </row>
    <row r="48" spans="1:8">
      <c r="A48" s="8"/>
      <c r="B48" s="11" t="s">
        <v>145</v>
      </c>
      <c r="C48" s="17" t="s">
        <v>146</v>
      </c>
      <c r="D48" s="11" t="s">
        <v>136</v>
      </c>
      <c r="E48" s="12">
        <v>155</v>
      </c>
      <c r="F48" s="13">
        <v>0</v>
      </c>
      <c r="G48" s="10" t="s">
        <v>13</v>
      </c>
      <c r="H48" s="10">
        <f t="shared" si="1"/>
        <v>0</v>
      </c>
    </row>
    <row r="49" spans="1:8">
      <c r="A49" s="8"/>
      <c r="B49" s="11" t="s">
        <v>147</v>
      </c>
      <c r="C49" s="17" t="s">
        <v>148</v>
      </c>
      <c r="D49" s="11" t="s">
        <v>136</v>
      </c>
      <c r="E49" s="12">
        <v>80</v>
      </c>
      <c r="F49" s="13">
        <v>0.9</v>
      </c>
      <c r="G49" s="10" t="s">
        <v>13</v>
      </c>
      <c r="H49" s="10">
        <f t="shared" si="1"/>
        <v>72</v>
      </c>
    </row>
    <row r="50" spans="1:8">
      <c r="A50" s="8"/>
      <c r="B50" s="11" t="s">
        <v>149</v>
      </c>
      <c r="C50" s="17" t="s">
        <v>150</v>
      </c>
      <c r="D50" s="11" t="s">
        <v>151</v>
      </c>
      <c r="E50" s="12">
        <v>340</v>
      </c>
      <c r="F50" s="13">
        <v>2.2</v>
      </c>
      <c r="G50" s="10" t="s">
        <v>17</v>
      </c>
      <c r="H50" s="10">
        <f t="shared" si="1"/>
        <v>748</v>
      </c>
    </row>
    <row r="51" spans="1:8">
      <c r="A51" s="8"/>
      <c r="B51" s="11" t="s">
        <v>152</v>
      </c>
      <c r="C51" s="17" t="s">
        <v>153</v>
      </c>
      <c r="D51" s="11" t="s">
        <v>154</v>
      </c>
      <c r="E51" s="12">
        <v>245</v>
      </c>
      <c r="F51" s="13">
        <v>0.6</v>
      </c>
      <c r="G51" s="10" t="s">
        <v>17</v>
      </c>
      <c r="H51" s="10">
        <f t="shared" si="1"/>
        <v>147</v>
      </c>
    </row>
    <row r="52" spans="1:8">
      <c r="A52" s="8"/>
      <c r="B52" s="11" t="s">
        <v>155</v>
      </c>
      <c r="C52" s="17" t="s">
        <v>156</v>
      </c>
      <c r="D52" s="11" t="s">
        <v>104</v>
      </c>
      <c r="E52" s="12">
        <v>228</v>
      </c>
      <c r="F52" s="13">
        <v>0.27</v>
      </c>
      <c r="G52" s="10" t="s">
        <v>13</v>
      </c>
      <c r="H52" s="10">
        <f t="shared" si="1"/>
        <v>61.56</v>
      </c>
    </row>
    <row r="53" spans="1:8">
      <c r="A53" s="8"/>
      <c r="B53" s="11" t="s">
        <v>157</v>
      </c>
      <c r="C53" s="17" t="s">
        <v>158</v>
      </c>
      <c r="D53" s="11" t="s">
        <v>136</v>
      </c>
      <c r="E53" s="12">
        <v>190</v>
      </c>
      <c r="F53" s="13">
        <v>0.75</v>
      </c>
      <c r="G53" s="10" t="s">
        <v>101</v>
      </c>
      <c r="H53" s="10">
        <f t="shared" si="1"/>
        <v>142.5</v>
      </c>
    </row>
    <row r="54" spans="1:8">
      <c r="A54" s="8"/>
      <c r="B54" s="11" t="s">
        <v>159</v>
      </c>
      <c r="C54" s="17" t="s">
        <v>160</v>
      </c>
      <c r="D54" s="11" t="s">
        <v>161</v>
      </c>
      <c r="E54" s="12">
        <v>12.9</v>
      </c>
      <c r="F54" s="13">
        <v>0</v>
      </c>
      <c r="G54" s="10" t="s">
        <v>17</v>
      </c>
      <c r="H54" s="10">
        <f t="shared" si="1"/>
        <v>0</v>
      </c>
    </row>
    <row r="55" spans="1:8">
      <c r="A55" s="8"/>
      <c r="B55" s="11" t="s">
        <v>162</v>
      </c>
      <c r="C55" s="17" t="s">
        <v>163</v>
      </c>
      <c r="D55" s="11" t="s">
        <v>164</v>
      </c>
      <c r="E55" s="12">
        <v>354</v>
      </c>
      <c r="F55" s="13">
        <v>0</v>
      </c>
      <c r="G55" s="10" t="s">
        <v>13</v>
      </c>
      <c r="H55" s="10">
        <f t="shared" si="1"/>
        <v>0</v>
      </c>
    </row>
    <row r="56" spans="1:8">
      <c r="A56" s="8"/>
      <c r="B56" s="11" t="s">
        <v>165</v>
      </c>
      <c r="C56" s="17" t="s">
        <v>166</v>
      </c>
      <c r="D56" s="11" t="s">
        <v>114</v>
      </c>
      <c r="E56" s="12">
        <v>26</v>
      </c>
      <c r="F56" s="13">
        <v>0</v>
      </c>
      <c r="G56" s="10" t="s">
        <v>17</v>
      </c>
      <c r="H56" s="10">
        <f t="shared" si="1"/>
        <v>0</v>
      </c>
    </row>
    <row r="57" spans="1:8">
      <c r="A57" s="8"/>
      <c r="B57" s="11" t="s">
        <v>167</v>
      </c>
      <c r="C57" s="17" t="s">
        <v>168</v>
      </c>
      <c r="D57" s="11" t="s">
        <v>169</v>
      </c>
      <c r="E57" s="12">
        <v>8.5</v>
      </c>
      <c r="F57" s="13">
        <v>0</v>
      </c>
      <c r="G57" s="10" t="s">
        <v>21</v>
      </c>
      <c r="H57" s="10">
        <f t="shared" si="1"/>
        <v>0</v>
      </c>
    </row>
    <row r="58" spans="1:8">
      <c r="A58" s="8"/>
      <c r="B58" s="11" t="s">
        <v>170</v>
      </c>
      <c r="C58" s="17" t="s">
        <v>171</v>
      </c>
      <c r="D58" s="11" t="s">
        <v>114</v>
      </c>
      <c r="E58" s="12">
        <v>115</v>
      </c>
      <c r="F58" s="13">
        <v>1</v>
      </c>
      <c r="G58" s="10" t="s">
        <v>17</v>
      </c>
      <c r="H58" s="10">
        <f t="shared" si="1"/>
        <v>115</v>
      </c>
    </row>
    <row r="59" spans="1:8">
      <c r="A59" s="8"/>
      <c r="B59" s="11" t="s">
        <v>172</v>
      </c>
      <c r="C59" s="17" t="s">
        <v>173</v>
      </c>
      <c r="D59" s="11" t="s">
        <v>114</v>
      </c>
      <c r="E59" s="12">
        <v>115</v>
      </c>
      <c r="F59" s="13">
        <v>1</v>
      </c>
      <c r="G59" s="10" t="s">
        <v>17</v>
      </c>
      <c r="H59" s="10">
        <f t="shared" si="1"/>
        <v>115</v>
      </c>
    </row>
    <row r="60" spans="1:8">
      <c r="A60" s="8"/>
      <c r="B60" s="11" t="s">
        <v>174</v>
      </c>
      <c r="C60" s="17" t="s">
        <v>175</v>
      </c>
      <c r="D60" s="11" t="s">
        <v>114</v>
      </c>
      <c r="E60" s="12">
        <v>115</v>
      </c>
      <c r="F60" s="13">
        <v>1</v>
      </c>
      <c r="G60" s="10" t="s">
        <v>17</v>
      </c>
      <c r="H60" s="10">
        <f t="shared" si="1"/>
        <v>115</v>
      </c>
    </row>
    <row r="61" spans="1:8">
      <c r="A61" s="8"/>
      <c r="B61" s="11" t="s">
        <v>176</v>
      </c>
      <c r="C61" s="17" t="s">
        <v>177</v>
      </c>
      <c r="D61" s="11" t="s">
        <v>178</v>
      </c>
      <c r="E61" s="12">
        <v>13.9</v>
      </c>
      <c r="F61" s="13">
        <v>2</v>
      </c>
      <c r="G61" s="10" t="s">
        <v>17</v>
      </c>
      <c r="H61" s="10">
        <f t="shared" si="1"/>
        <v>27.8</v>
      </c>
    </row>
    <row r="62" spans="1:8">
      <c r="A62" s="16" t="s">
        <v>179</v>
      </c>
      <c r="B62" s="11" t="s">
        <v>180</v>
      </c>
      <c r="C62" s="17" t="s">
        <v>181</v>
      </c>
      <c r="D62" s="11" t="s">
        <v>182</v>
      </c>
      <c r="E62" s="12">
        <v>132</v>
      </c>
      <c r="F62" s="13">
        <v>3</v>
      </c>
      <c r="G62" s="10" t="s">
        <v>13</v>
      </c>
      <c r="H62" s="10">
        <f t="shared" si="1"/>
        <v>396</v>
      </c>
    </row>
    <row r="63" spans="1:8">
      <c r="A63" s="16"/>
      <c r="B63" s="11" t="s">
        <v>183</v>
      </c>
      <c r="C63" s="17" t="s">
        <v>184</v>
      </c>
      <c r="D63" s="11" t="s">
        <v>185</v>
      </c>
      <c r="E63" s="12">
        <v>208</v>
      </c>
      <c r="F63" s="13">
        <v>0</v>
      </c>
      <c r="G63" s="10" t="s">
        <v>13</v>
      </c>
      <c r="H63" s="10">
        <f t="shared" si="1"/>
        <v>0</v>
      </c>
    </row>
    <row r="64" spans="1:8">
      <c r="A64" s="16"/>
      <c r="B64" s="11" t="s">
        <v>186</v>
      </c>
      <c r="C64" s="17" t="s">
        <v>187</v>
      </c>
      <c r="D64" s="11" t="s">
        <v>188</v>
      </c>
      <c r="E64" s="12">
        <v>210</v>
      </c>
      <c r="F64" s="13">
        <v>0</v>
      </c>
      <c r="G64" s="10" t="s">
        <v>13</v>
      </c>
      <c r="H64" s="10">
        <f t="shared" si="1"/>
        <v>0</v>
      </c>
    </row>
    <row r="65" spans="1:8">
      <c r="A65" s="16"/>
      <c r="B65" s="11" t="s">
        <v>189</v>
      </c>
      <c r="C65" s="17" t="s">
        <v>190</v>
      </c>
      <c r="D65" s="11" t="s">
        <v>191</v>
      </c>
      <c r="E65" s="12">
        <v>470</v>
      </c>
      <c r="F65" s="13">
        <v>0</v>
      </c>
      <c r="G65" s="10" t="s">
        <v>192</v>
      </c>
      <c r="H65" s="10">
        <f t="shared" si="1"/>
        <v>0</v>
      </c>
    </row>
    <row r="66" spans="1:8">
      <c r="A66" s="16"/>
      <c r="B66" s="11" t="s">
        <v>193</v>
      </c>
      <c r="C66" s="17" t="s">
        <v>194</v>
      </c>
      <c r="D66" s="11" t="s">
        <v>195</v>
      </c>
      <c r="E66" s="12">
        <v>228</v>
      </c>
      <c r="F66" s="13">
        <v>0.5</v>
      </c>
      <c r="G66" s="10" t="s">
        <v>13</v>
      </c>
      <c r="H66" s="10">
        <f t="shared" ref="H66:H81" si="2">E66*F66</f>
        <v>114</v>
      </c>
    </row>
    <row r="67" spans="1:8">
      <c r="A67" s="16"/>
      <c r="B67" s="11" t="s">
        <v>196</v>
      </c>
      <c r="C67" s="17" t="s">
        <v>197</v>
      </c>
      <c r="D67" s="11" t="s">
        <v>198</v>
      </c>
      <c r="E67" s="12">
        <v>536</v>
      </c>
      <c r="F67" s="13">
        <v>0</v>
      </c>
      <c r="G67" s="10" t="s">
        <v>13</v>
      </c>
      <c r="H67" s="10">
        <f t="shared" si="2"/>
        <v>0</v>
      </c>
    </row>
    <row r="68" spans="1:8">
      <c r="A68" s="16"/>
      <c r="B68" s="11" t="s">
        <v>199</v>
      </c>
      <c r="C68" s="17" t="s">
        <v>200</v>
      </c>
      <c r="D68" s="11" t="s">
        <v>201</v>
      </c>
      <c r="E68" s="12">
        <v>468</v>
      </c>
      <c r="F68" s="13">
        <v>0.83</v>
      </c>
      <c r="G68" s="10" t="s">
        <v>13</v>
      </c>
      <c r="H68" s="10">
        <f t="shared" si="2"/>
        <v>388.44</v>
      </c>
    </row>
    <row r="69" spans="1:8">
      <c r="A69" s="16"/>
      <c r="B69" s="11" t="s">
        <v>202</v>
      </c>
      <c r="C69" s="17" t="s">
        <v>203</v>
      </c>
      <c r="D69" s="11" t="s">
        <v>204</v>
      </c>
      <c r="E69" s="12">
        <v>252</v>
      </c>
      <c r="F69" s="13">
        <v>1</v>
      </c>
      <c r="G69" s="10" t="s">
        <v>73</v>
      </c>
      <c r="H69" s="10">
        <f t="shared" si="2"/>
        <v>252</v>
      </c>
    </row>
    <row r="70" spans="1:8">
      <c r="A70" s="16"/>
      <c r="B70" s="11" t="s">
        <v>205</v>
      </c>
      <c r="C70" s="17" t="s">
        <v>206</v>
      </c>
      <c r="D70" s="11" t="s">
        <v>207</v>
      </c>
      <c r="E70" s="12">
        <v>1250</v>
      </c>
      <c r="F70" s="13">
        <v>0.33</v>
      </c>
      <c r="G70" s="10" t="s">
        <v>17</v>
      </c>
      <c r="H70" s="10">
        <f t="shared" si="2"/>
        <v>412.5</v>
      </c>
    </row>
    <row r="71" spans="1:8">
      <c r="A71" s="16"/>
      <c r="B71" s="11" t="s">
        <v>208</v>
      </c>
      <c r="C71" s="17" t="s">
        <v>209</v>
      </c>
      <c r="D71" s="11" t="s">
        <v>210</v>
      </c>
      <c r="E71" s="12">
        <v>320</v>
      </c>
      <c r="F71" s="13">
        <v>0.5</v>
      </c>
      <c r="G71" s="10" t="s">
        <v>13</v>
      </c>
      <c r="H71" s="10">
        <f t="shared" si="2"/>
        <v>160</v>
      </c>
    </row>
    <row r="72" spans="1:8">
      <c r="A72" s="16"/>
      <c r="B72" s="11" t="s">
        <v>211</v>
      </c>
      <c r="C72" s="17" t="s">
        <v>212</v>
      </c>
      <c r="D72" s="11" t="s">
        <v>213</v>
      </c>
      <c r="E72" s="12">
        <v>180</v>
      </c>
      <c r="F72" s="13">
        <v>0.67</v>
      </c>
      <c r="G72" s="10" t="s">
        <v>13</v>
      </c>
      <c r="H72" s="10">
        <f t="shared" si="2"/>
        <v>120.6</v>
      </c>
    </row>
    <row r="73" spans="1:8">
      <c r="A73" s="16"/>
      <c r="B73" s="11" t="s">
        <v>214</v>
      </c>
      <c r="C73" s="17" t="s">
        <v>215</v>
      </c>
      <c r="D73" s="11" t="s">
        <v>216</v>
      </c>
      <c r="E73" s="12">
        <v>300</v>
      </c>
      <c r="F73" s="13">
        <v>0.42</v>
      </c>
      <c r="G73" s="10" t="s">
        <v>13</v>
      </c>
      <c r="H73" s="10">
        <f t="shared" si="2"/>
        <v>126</v>
      </c>
    </row>
    <row r="74" spans="1:8">
      <c r="A74" s="16"/>
      <c r="B74" s="11" t="s">
        <v>217</v>
      </c>
      <c r="C74" s="17" t="s">
        <v>218</v>
      </c>
      <c r="D74" s="11" t="s">
        <v>219</v>
      </c>
      <c r="E74" s="12">
        <v>306</v>
      </c>
      <c r="F74" s="13">
        <v>0</v>
      </c>
      <c r="G74" s="10" t="s">
        <v>13</v>
      </c>
      <c r="H74" s="10">
        <f t="shared" si="2"/>
        <v>0</v>
      </c>
    </row>
    <row r="75" spans="1:8">
      <c r="A75" s="16"/>
      <c r="B75" s="11" t="s">
        <v>220</v>
      </c>
      <c r="C75" s="17" t="s">
        <v>221</v>
      </c>
      <c r="D75" s="11" t="s">
        <v>222</v>
      </c>
      <c r="E75" s="12">
        <v>240</v>
      </c>
      <c r="F75" s="13">
        <v>0.71</v>
      </c>
      <c r="G75" s="10" t="s">
        <v>13</v>
      </c>
      <c r="H75" s="10">
        <f t="shared" si="2"/>
        <v>170.4</v>
      </c>
    </row>
    <row r="76" spans="1:8">
      <c r="A76" s="16"/>
      <c r="B76" s="11" t="s">
        <v>223</v>
      </c>
      <c r="C76" s="17" t="s">
        <v>224</v>
      </c>
      <c r="D76" s="11" t="s">
        <v>225</v>
      </c>
      <c r="E76" s="12">
        <v>440</v>
      </c>
      <c r="F76" s="13">
        <v>0.33</v>
      </c>
      <c r="G76" s="10" t="s">
        <v>13</v>
      </c>
      <c r="H76" s="10">
        <f t="shared" si="2"/>
        <v>145.2</v>
      </c>
    </row>
    <row r="77" spans="1:8">
      <c r="A77" s="8" t="s">
        <v>226</v>
      </c>
      <c r="B77" s="11" t="s">
        <v>227</v>
      </c>
      <c r="C77" s="17" t="s">
        <v>228</v>
      </c>
      <c r="D77" s="11" t="s">
        <v>131</v>
      </c>
      <c r="E77" s="12">
        <v>865</v>
      </c>
      <c r="F77" s="13">
        <v>0.25</v>
      </c>
      <c r="G77" s="10" t="s">
        <v>21</v>
      </c>
      <c r="H77" s="10">
        <f t="shared" si="2"/>
        <v>216.25</v>
      </c>
    </row>
    <row r="78" spans="1:8">
      <c r="A78" s="8"/>
      <c r="B78" s="11" t="s">
        <v>229</v>
      </c>
      <c r="C78" s="17" t="s">
        <v>230</v>
      </c>
      <c r="D78" s="11" t="s">
        <v>94</v>
      </c>
      <c r="E78" s="12">
        <v>220</v>
      </c>
      <c r="F78" s="13">
        <v>0</v>
      </c>
      <c r="G78" s="10" t="s">
        <v>17</v>
      </c>
      <c r="H78" s="10">
        <f t="shared" si="2"/>
        <v>0</v>
      </c>
    </row>
    <row r="79" spans="1:8">
      <c r="A79" s="8"/>
      <c r="B79" s="11" t="s">
        <v>231</v>
      </c>
      <c r="C79" s="17" t="s">
        <v>232</v>
      </c>
      <c r="D79" s="11" t="s">
        <v>94</v>
      </c>
      <c r="E79" s="12">
        <v>220</v>
      </c>
      <c r="F79" s="13">
        <v>0</v>
      </c>
      <c r="G79" s="10" t="s">
        <v>17</v>
      </c>
      <c r="H79" s="10">
        <f t="shared" si="2"/>
        <v>0</v>
      </c>
    </row>
    <row r="80" spans="1:8">
      <c r="A80" s="8"/>
      <c r="B80" s="11" t="s">
        <v>233</v>
      </c>
      <c r="C80" s="17" t="s">
        <v>234</v>
      </c>
      <c r="D80" s="11" t="s">
        <v>94</v>
      </c>
      <c r="E80" s="12">
        <v>220</v>
      </c>
      <c r="F80" s="13">
        <v>0</v>
      </c>
      <c r="G80" s="10" t="s">
        <v>17</v>
      </c>
      <c r="H80" s="10">
        <f t="shared" si="2"/>
        <v>0</v>
      </c>
    </row>
    <row r="81" spans="1:8">
      <c r="A81" s="8"/>
      <c r="B81" s="11" t="s">
        <v>235</v>
      </c>
      <c r="C81" s="17" t="s">
        <v>236</v>
      </c>
      <c r="D81" s="11" t="s">
        <v>94</v>
      </c>
      <c r="E81" s="12">
        <v>220</v>
      </c>
      <c r="F81" s="13"/>
      <c r="G81" s="10" t="s">
        <v>17</v>
      </c>
      <c r="H81" s="10">
        <f t="shared" si="2"/>
        <v>0</v>
      </c>
    </row>
    <row r="82" spans="1:8">
      <c r="G82" s="10" t="s">
        <v>237</v>
      </c>
      <c r="H82" s="10">
        <f>SUM(H3:H81)</f>
        <v>19271.126</v>
      </c>
    </row>
  </sheetData>
  <mergeCells count="6">
    <mergeCell ref="A1:H1"/>
    <mergeCell ref="A3:A22"/>
    <mergeCell ref="A23:A24"/>
    <mergeCell ref="A25:A61"/>
    <mergeCell ref="A62:A76"/>
    <mergeCell ref="A77:A8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30521</dc:creator>
  <cp:lastModifiedBy>Administrator</cp:lastModifiedBy>
  <dcterms:created xsi:type="dcterms:W3CDTF">2026-04-19T05:51:00Z</dcterms:created>
  <dcterms:modified xsi:type="dcterms:W3CDTF">2026-05-02T05:20:26Z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60D2C471110B43F89712534B0BFEE650_11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2052-12.1.0.25860</vt:lpwstr>
  </property>
  <property fmtid="{D5CDD505-2E9C-101B-9397-08002B2CF9AE}" pid="5" name="CalculationRule">
    <vt:i4>1</vt:i4>
  </property>
</Properties>
</file>